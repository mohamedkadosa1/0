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X:\الشركات\دواجن الوادي\تراخيص تشغيل العنابر\ك 84\"/>
    </mc:Choice>
  </mc:AlternateContent>
  <bookViews>
    <workbookView minimized="1" xWindow="-105" yWindow="-105" windowWidth="23250" windowHeight="1257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" l="1"/>
  <c r="N54" i="1"/>
  <c r="N50" i="1"/>
  <c r="N52" i="1" s="1"/>
  <c r="N51" i="1"/>
  <c r="N41" i="1"/>
  <c r="N42" i="1"/>
  <c r="N43" i="1"/>
  <c r="N44" i="1"/>
  <c r="N45" i="1"/>
  <c r="N46" i="1"/>
  <c r="N36" i="1"/>
  <c r="N38" i="1" s="1"/>
  <c r="N37" i="1"/>
  <c r="N30" i="1"/>
  <c r="N33" i="1" s="1"/>
  <c r="N31" i="1"/>
  <c r="N32" i="1"/>
  <c r="N25" i="1"/>
  <c r="N26" i="1"/>
  <c r="N22" i="1"/>
  <c r="N18" i="1"/>
  <c r="N19" i="1"/>
  <c r="N20" i="1"/>
  <c r="N21" i="1"/>
  <c r="N13" i="1"/>
  <c r="N14" i="1"/>
  <c r="N5" i="1"/>
  <c r="N6" i="1"/>
  <c r="N7" i="1"/>
  <c r="N8" i="1"/>
  <c r="N9" i="1"/>
  <c r="N49" i="1"/>
  <c r="P50" i="1"/>
  <c r="P51" i="1"/>
  <c r="P49" i="1"/>
  <c r="S52" i="1"/>
  <c r="N47" i="1"/>
  <c r="N40" i="1"/>
  <c r="P41" i="1"/>
  <c r="P42" i="1"/>
  <c r="P43" i="1"/>
  <c r="P44" i="1"/>
  <c r="P45" i="1"/>
  <c r="P46" i="1"/>
  <c r="P40" i="1"/>
  <c r="S47" i="1"/>
  <c r="N35" i="1"/>
  <c r="P36" i="1"/>
  <c r="P37" i="1"/>
  <c r="P35" i="1"/>
  <c r="S38" i="1"/>
  <c r="S33" i="1"/>
  <c r="N29" i="1"/>
  <c r="P30" i="1"/>
  <c r="P31" i="1"/>
  <c r="P32" i="1"/>
  <c r="P29" i="1"/>
  <c r="P26" i="1"/>
  <c r="N24" i="1"/>
  <c r="P25" i="1"/>
  <c r="P24" i="1"/>
  <c r="P18" i="1"/>
  <c r="P19" i="1"/>
  <c r="P20" i="1"/>
  <c r="P21" i="1"/>
  <c r="P17" i="1"/>
  <c r="P14" i="1"/>
  <c r="P13" i="1"/>
  <c r="P12" i="1"/>
  <c r="S27" i="1"/>
  <c r="P7" i="1"/>
  <c r="N27" i="1" l="1"/>
  <c r="P9" i="1"/>
  <c r="S10" i="1"/>
  <c r="P6" i="1"/>
  <c r="P8" i="1"/>
  <c r="P5" i="1"/>
  <c r="P4" i="1" l="1"/>
  <c r="N17" i="1" l="1"/>
  <c r="S22" i="1"/>
  <c r="S15" i="1"/>
  <c r="N12" i="1"/>
  <c r="N4" i="1"/>
  <c r="N10" i="1" l="1"/>
  <c r="N15" i="1"/>
</calcChain>
</file>

<file path=xl/sharedStrings.xml><?xml version="1.0" encoding="utf-8"?>
<sst xmlns="http://schemas.openxmlformats.org/spreadsheetml/2006/main" count="118" uniqueCount="45">
  <si>
    <t xml:space="preserve">الموقع الأول </t>
  </si>
  <si>
    <t>العدد</t>
  </si>
  <si>
    <t xml:space="preserve">عنبر دواجن </t>
  </si>
  <si>
    <t>المساحة</t>
  </si>
  <si>
    <t>الموقع الثانى</t>
  </si>
  <si>
    <t xml:space="preserve">اجمالى المساحة </t>
  </si>
  <si>
    <t xml:space="preserve">الوحدة </t>
  </si>
  <si>
    <t>الموقع الثالث</t>
  </si>
  <si>
    <t>الموقع الرابع</t>
  </si>
  <si>
    <t xml:space="preserve">الطول </t>
  </si>
  <si>
    <t>العرض</t>
  </si>
  <si>
    <t>رقم العنبر</t>
  </si>
  <si>
    <t>1,2,3,4</t>
  </si>
  <si>
    <t>8,9</t>
  </si>
  <si>
    <t>عنبر فرزة الدواجن</t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</si>
  <si>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</si>
  <si>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t>الموقع الخامس</t>
  </si>
  <si>
    <t>الموقع السادس</t>
  </si>
  <si>
    <t>الموقع السابع</t>
  </si>
  <si>
    <t>الموقع الثامن</t>
  </si>
  <si>
    <t>مجموع عدد العنابر في الموقع الأول</t>
  </si>
  <si>
    <t>مجموع المساحة في الموقع الأول</t>
  </si>
  <si>
    <t>1,2,3,4,5</t>
  </si>
  <si>
    <t>6,7,8</t>
  </si>
  <si>
    <t>مجموع عدد العنابر في الموقع الثانى</t>
  </si>
  <si>
    <t>مجموع المساحة في الموقع الثانى</t>
  </si>
  <si>
    <t>7,8</t>
  </si>
  <si>
    <t>مجموع عدد العنابر في الموقع الثالث</t>
  </si>
  <si>
    <t>مجموع المساحة في الموقع الثالث</t>
  </si>
  <si>
    <t>مجموع عدد العنابر في الموقع الرابع</t>
  </si>
  <si>
    <t>مجموع المساحة في الموقع الرابع</t>
  </si>
  <si>
    <t>1,2,3</t>
  </si>
  <si>
    <t>5,6,7,8</t>
  </si>
  <si>
    <t>مجموع عدد العنابر في الموقع الخامس</t>
  </si>
  <si>
    <t>مجموع المساحة في الموقع الخامس</t>
  </si>
  <si>
    <t>مجموع عدد العنابر في الموقع السادس</t>
  </si>
  <si>
    <t>مجموع المساحة في الموقع السادس</t>
  </si>
  <si>
    <t>مجموع عدد العنابر في الموقع السابع</t>
  </si>
  <si>
    <t>مجموع المساحة في الموقع السابع</t>
  </si>
  <si>
    <t>5,6</t>
  </si>
  <si>
    <t>مجموع عدد العنابر في الموقع الثامن</t>
  </si>
  <si>
    <t>مجموع المساحة في الموقع الثامن</t>
  </si>
  <si>
    <t>مجموع عدد العنابر في مشروع النوبارية</t>
  </si>
  <si>
    <r>
      <t>مجموع مساحات العنابر في مشروع النوبارية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</si>
  <si>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رقم الموقع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</si>
</sst>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N2:U54"/>
  <sheetViews>
    <sheetView tabSelected="1" topLeftCell="F1" workbookViewId="0">
      <selection activeCell="U42" sqref="U42"/>
    </sheetView>
  </sheetViews>
  <sheetFormatPr defaultRowHeight="15" x14ac:dyDescent="0.25"/>
  <cols>
    <col min="13" max="13" width="8.85546875" customWidth="1"/>
    <col min="14" max="14" width="16.7109375" bestFit="1" customWidth="1"/>
    <col min="15" max="15" width="9.42578125" bestFit="1" customWidth="1"/>
    <col min="20" max="20" width="9.5703125" bestFit="1" customWidth="1"/>
    <col min="21" max="21" width="18" customWidth="1"/>
  </cols>
  <sheetData>
    <row r="2" spans="14:21" ht="18.75" x14ac:dyDescent="0.3">
      <c r="N2" s="8" t="s">
        <v>5</v>
      </c>
      <c r="O2" s="8" t="s">
        <v>3</v>
      </c>
      <c r="P2" s="9" t="s">
        <v>10</v>
      </c>
      <c r="Q2" s="9" t="s">
        <v>9</v>
      </c>
      <c r="R2" s="8" t="s">
        <v>6</v>
      </c>
      <c r="S2" s="8" t="s">
        <v>1</v>
      </c>
      <c r="T2" s="8" t="s">
        <v>11</v>
      </c>
      <c r="U2" s="8" t="s">
        <v>44</v>
      </c>
    </row>
    <row r="3" spans="14:21" ht="18.75" x14ac:dyDescent="0.3">
      <c r="N3" s="12"/>
      <c r="O3" s="13"/>
      <c r="P3" s="13"/>
      <c r="Q3" s="13"/>
      <c r="R3" s="13"/>
      <c r="S3" s="13"/>
      <c r="T3" s="14"/>
      <c r="U3" s="8" t="s">
        <v>0</v>
      </c>
    </row>
    <row r="4" spans="14:21" ht="17.25" x14ac:dyDescent="0.25">
      <c r="N4" s="2">
        <f>S4*O4</f>
        <v>3736</v>
      </c>
      <c r="O4" s="2">
        <v>934</v>
      </c>
      <c r="P4" s="4">
        <f>O4/Q4</f>
        <v>13.553910898273111</v>
      </c>
      <c r="Q4" s="2">
        <v>68.91</v>
      </c>
      <c r="R4" s="2" t="s">
        <v>15</v>
      </c>
      <c r="S4" s="2">
        <v>4</v>
      </c>
      <c r="T4" s="2" t="s">
        <v>12</v>
      </c>
      <c r="U4" s="1" t="s">
        <v>2</v>
      </c>
    </row>
    <row r="5" spans="14:21" ht="17.25" x14ac:dyDescent="0.25">
      <c r="N5" s="2">
        <f t="shared" ref="N5:N9" si="0">S5*O5</f>
        <v>1298</v>
      </c>
      <c r="O5" s="2">
        <v>1298</v>
      </c>
      <c r="P5" s="4">
        <f>O5/Q5</f>
        <v>14.040021633315305</v>
      </c>
      <c r="Q5" s="2">
        <v>92.45</v>
      </c>
      <c r="R5" s="2" t="s">
        <v>15</v>
      </c>
      <c r="S5" s="2">
        <v>1</v>
      </c>
      <c r="T5" s="2">
        <v>5</v>
      </c>
      <c r="U5" s="1" t="s">
        <v>2</v>
      </c>
    </row>
    <row r="6" spans="14:21" ht="17.25" x14ac:dyDescent="0.25">
      <c r="N6" s="2">
        <f t="shared" si="0"/>
        <v>1178.5</v>
      </c>
      <c r="O6" s="2">
        <v>1178.5</v>
      </c>
      <c r="P6" s="4">
        <f t="shared" ref="P6:P9" si="1">O6/Q6</f>
        <v>13.372290933847726</v>
      </c>
      <c r="Q6" s="2">
        <v>88.13</v>
      </c>
      <c r="R6" s="2" t="s">
        <v>15</v>
      </c>
      <c r="S6" s="2">
        <v>1</v>
      </c>
      <c r="T6" s="2">
        <v>6</v>
      </c>
      <c r="U6" s="1" t="s">
        <v>2</v>
      </c>
    </row>
    <row r="7" spans="14:21" ht="17.25" x14ac:dyDescent="0.25">
      <c r="N7" s="2">
        <f t="shared" si="0"/>
        <v>1169</v>
      </c>
      <c r="O7" s="2">
        <v>1169</v>
      </c>
      <c r="P7" s="4">
        <f t="shared" si="1"/>
        <v>13.25096350034006</v>
      </c>
      <c r="Q7" s="2">
        <v>88.22</v>
      </c>
      <c r="R7" s="2" t="s">
        <v>15</v>
      </c>
      <c r="S7" s="2">
        <v>1</v>
      </c>
      <c r="T7" s="2">
        <v>7</v>
      </c>
      <c r="U7" s="1" t="s">
        <v>2</v>
      </c>
    </row>
    <row r="8" spans="14:21" ht="17.25" x14ac:dyDescent="0.25">
      <c r="N8" s="2">
        <f t="shared" si="0"/>
        <v>2480</v>
      </c>
      <c r="O8" s="2">
        <v>1240</v>
      </c>
      <c r="P8" s="4">
        <f t="shared" si="1"/>
        <v>14.058956916099772</v>
      </c>
      <c r="Q8" s="2">
        <v>88.2</v>
      </c>
      <c r="R8" s="2" t="s">
        <v>15</v>
      </c>
      <c r="S8" s="2">
        <v>2</v>
      </c>
      <c r="T8" s="2" t="s">
        <v>13</v>
      </c>
      <c r="U8" s="1" t="s">
        <v>2</v>
      </c>
    </row>
    <row r="9" spans="14:21" ht="17.25" x14ac:dyDescent="0.25">
      <c r="N9" s="2">
        <f t="shared" si="0"/>
        <v>230.84</v>
      </c>
      <c r="O9" s="2">
        <v>230.84</v>
      </c>
      <c r="P9" s="4">
        <f t="shared" si="1"/>
        <v>9.1169036334913116</v>
      </c>
      <c r="Q9" s="2">
        <v>25.32</v>
      </c>
      <c r="R9" s="2" t="s">
        <v>15</v>
      </c>
      <c r="S9" s="2">
        <v>1</v>
      </c>
      <c r="T9" s="2">
        <v>10</v>
      </c>
      <c r="U9" s="1" t="s">
        <v>14</v>
      </c>
    </row>
    <row r="10" spans="14:21" x14ac:dyDescent="0.25">
      <c r="N10" s="5">
        <f>SUM(N4:N9)</f>
        <v>10092.34</v>
      </c>
      <c r="O10" s="12" t="s">
        <v>21</v>
      </c>
      <c r="P10" s="13"/>
      <c r="Q10" s="13"/>
      <c r="R10" s="14"/>
      <c r="S10" s="2">
        <f>SUM(S4:S9)</f>
        <v>10</v>
      </c>
      <c r="T10" s="12" t="s">
        <v>20</v>
      </c>
      <c r="U10" s="14"/>
    </row>
    <row r="11" spans="14:21" ht="18.75" x14ac:dyDescent="0.3">
      <c r="N11" s="11"/>
      <c r="O11" s="11"/>
      <c r="P11" s="11"/>
      <c r="Q11" s="11"/>
      <c r="R11" s="11"/>
      <c r="S11" s="11"/>
      <c r="T11" s="11"/>
      <c r="U11" s="10" t="s">
        <v>4</v>
      </c>
    </row>
    <row r="12" spans="14:21" ht="17.25" x14ac:dyDescent="0.25">
      <c r="N12" s="2">
        <f>O12*S12</f>
        <v>5855</v>
      </c>
      <c r="O12" s="2">
        <v>1171</v>
      </c>
      <c r="P12" s="4">
        <f>O12/Q12</f>
        <v>13.255603350690514</v>
      </c>
      <c r="Q12" s="2">
        <v>88.34</v>
      </c>
      <c r="R12" s="2" t="s">
        <v>15</v>
      </c>
      <c r="S12" s="2">
        <v>5</v>
      </c>
      <c r="T12" s="2" t="s">
        <v>22</v>
      </c>
      <c r="U12" s="3" t="s">
        <v>2</v>
      </c>
    </row>
    <row r="13" spans="14:21" ht="17.25" x14ac:dyDescent="0.25">
      <c r="N13" s="2">
        <f t="shared" ref="N13:N14" si="2">O13*S13</f>
        <v>3731.25</v>
      </c>
      <c r="O13" s="2">
        <v>1243.75</v>
      </c>
      <c r="P13" s="4">
        <f t="shared" ref="P13" si="3">O13/Q13</f>
        <v>14.083908957083002</v>
      </c>
      <c r="Q13" s="2">
        <v>88.31</v>
      </c>
      <c r="R13" s="2" t="s">
        <v>15</v>
      </c>
      <c r="S13" s="2">
        <v>3</v>
      </c>
      <c r="T13" s="2" t="s">
        <v>23</v>
      </c>
      <c r="U13" s="3" t="s">
        <v>2</v>
      </c>
    </row>
    <row r="14" spans="14:21" ht="17.25" x14ac:dyDescent="0.25">
      <c r="N14" s="2">
        <f t="shared" si="2"/>
        <v>230.84</v>
      </c>
      <c r="O14" s="2">
        <v>230.84</v>
      </c>
      <c r="P14" s="4">
        <f>O14/Q14</f>
        <v>9.1313291139240498</v>
      </c>
      <c r="Q14" s="2">
        <v>25.28</v>
      </c>
      <c r="R14" s="2" t="s">
        <v>15</v>
      </c>
      <c r="S14" s="2">
        <v>1</v>
      </c>
      <c r="T14" s="2">
        <v>9</v>
      </c>
      <c r="U14" s="1" t="s">
        <v>14</v>
      </c>
    </row>
    <row r="15" spans="14:21" x14ac:dyDescent="0.25">
      <c r="N15" s="5">
        <f>SUM(N12:N14)</f>
        <v>9817.09</v>
      </c>
      <c r="O15" s="12" t="s">
        <v>25</v>
      </c>
      <c r="P15" s="13"/>
      <c r="Q15" s="13"/>
      <c r="R15" s="14"/>
      <c r="S15" s="2">
        <f>SUM(S12:S14)</f>
        <v>9</v>
      </c>
      <c r="T15" s="12" t="s">
        <v>24</v>
      </c>
      <c r="U15" s="14"/>
    </row>
    <row r="16" spans="14:21" ht="18.75" x14ac:dyDescent="0.3">
      <c r="N16" s="12"/>
      <c r="O16" s="13"/>
      <c r="P16" s="13"/>
      <c r="Q16" s="13"/>
      <c r="R16" s="13"/>
      <c r="S16" s="13"/>
      <c r="T16" s="14"/>
      <c r="U16" s="8" t="s">
        <v>7</v>
      </c>
    </row>
    <row r="17" spans="14:21" ht="17.25" x14ac:dyDescent="0.25">
      <c r="N17" s="2">
        <f>S17*O17</f>
        <v>4664</v>
      </c>
      <c r="O17" s="2">
        <v>1166</v>
      </c>
      <c r="P17" s="4">
        <f>O17/Q17</f>
        <v>13.212464589235127</v>
      </c>
      <c r="Q17" s="2">
        <v>88.25</v>
      </c>
      <c r="R17" s="2" t="s">
        <v>15</v>
      </c>
      <c r="S17" s="2">
        <v>4</v>
      </c>
      <c r="T17" s="2" t="s">
        <v>12</v>
      </c>
      <c r="U17" s="3" t="s">
        <v>2</v>
      </c>
    </row>
    <row r="18" spans="14:21" ht="17.25" x14ac:dyDescent="0.25">
      <c r="N18" s="2">
        <f t="shared" ref="N18:N21" si="4">S18*O18</f>
        <v>1218.7</v>
      </c>
      <c r="O18" s="2">
        <v>1218.7</v>
      </c>
      <c r="P18" s="4">
        <f t="shared" ref="P18:P21" si="5">O18/Q18</f>
        <v>13.180834955656502</v>
      </c>
      <c r="Q18" s="2">
        <v>92.46</v>
      </c>
      <c r="R18" s="2" t="s">
        <v>15</v>
      </c>
      <c r="S18" s="2">
        <v>1</v>
      </c>
      <c r="T18" s="2">
        <v>5</v>
      </c>
      <c r="U18" s="3" t="s">
        <v>2</v>
      </c>
    </row>
    <row r="19" spans="14:21" ht="17.25" x14ac:dyDescent="0.25">
      <c r="N19" s="2">
        <f t="shared" si="4"/>
        <v>1296.7</v>
      </c>
      <c r="O19" s="2">
        <v>1296.7</v>
      </c>
      <c r="P19" s="4">
        <f t="shared" si="5"/>
        <v>13.994172242607382</v>
      </c>
      <c r="Q19" s="2">
        <v>92.66</v>
      </c>
      <c r="R19" s="2" t="s">
        <v>15</v>
      </c>
      <c r="S19" s="2">
        <v>1</v>
      </c>
      <c r="T19" s="2">
        <v>6</v>
      </c>
      <c r="U19" s="3" t="s">
        <v>2</v>
      </c>
    </row>
    <row r="20" spans="14:21" ht="17.25" x14ac:dyDescent="0.25">
      <c r="N20" s="2">
        <f t="shared" si="4"/>
        <v>2581.5</v>
      </c>
      <c r="O20" s="2">
        <v>1290.75</v>
      </c>
      <c r="P20" s="4">
        <f t="shared" si="5"/>
        <v>13.95858116145777</v>
      </c>
      <c r="Q20" s="2">
        <v>92.47</v>
      </c>
      <c r="R20" s="2" t="s">
        <v>15</v>
      </c>
      <c r="S20" s="2">
        <v>2</v>
      </c>
      <c r="T20" s="2" t="s">
        <v>26</v>
      </c>
      <c r="U20" s="3" t="s">
        <v>2</v>
      </c>
    </row>
    <row r="21" spans="14:21" ht="17.25" x14ac:dyDescent="0.25">
      <c r="N21" s="2">
        <f t="shared" si="4"/>
        <v>230.84</v>
      </c>
      <c r="O21" s="2">
        <v>230.84</v>
      </c>
      <c r="P21" s="4">
        <f t="shared" si="5"/>
        <v>9.1277184657967574</v>
      </c>
      <c r="Q21" s="2">
        <v>25.29</v>
      </c>
      <c r="R21" s="2" t="s">
        <v>15</v>
      </c>
      <c r="S21" s="2">
        <v>1</v>
      </c>
      <c r="T21" s="2">
        <v>9</v>
      </c>
      <c r="U21" s="1" t="s">
        <v>14</v>
      </c>
    </row>
    <row r="22" spans="14:21" x14ac:dyDescent="0.25">
      <c r="N22" s="5">
        <f>SUM(N17:N21)</f>
        <v>9991.74</v>
      </c>
      <c r="O22" s="12" t="s">
        <v>28</v>
      </c>
      <c r="P22" s="13"/>
      <c r="Q22" s="13"/>
      <c r="R22" s="14"/>
      <c r="S22" s="2">
        <f>SUM(S17:S21)</f>
        <v>9</v>
      </c>
      <c r="T22" s="12" t="s">
        <v>27</v>
      </c>
      <c r="U22" s="14"/>
    </row>
    <row r="23" spans="14:21" ht="18.75" x14ac:dyDescent="0.3">
      <c r="N23" s="12"/>
      <c r="O23" s="13"/>
      <c r="P23" s="13"/>
      <c r="Q23" s="13"/>
      <c r="R23" s="13"/>
      <c r="S23" s="13"/>
      <c r="T23" s="14"/>
      <c r="U23" s="8" t="s">
        <v>8</v>
      </c>
    </row>
    <row r="24" spans="14:21" ht="17.25" x14ac:dyDescent="0.25">
      <c r="N24" s="2">
        <f>S24*O24</f>
        <v>5880</v>
      </c>
      <c r="O24" s="2">
        <v>1176</v>
      </c>
      <c r="P24" s="4">
        <f>O24/Q24</f>
        <v>13.330310587168443</v>
      </c>
      <c r="Q24" s="2">
        <v>88.22</v>
      </c>
      <c r="R24" s="2" t="s">
        <v>15</v>
      </c>
      <c r="S24" s="2">
        <v>5</v>
      </c>
      <c r="T24" s="2" t="s">
        <v>22</v>
      </c>
      <c r="U24" s="3" t="s">
        <v>2</v>
      </c>
    </row>
    <row r="25" spans="14:21" ht="17.25" x14ac:dyDescent="0.25">
      <c r="N25" s="2">
        <f t="shared" ref="N25:N26" si="6">S25*O25</f>
        <v>3867</v>
      </c>
      <c r="O25" s="2">
        <v>1289</v>
      </c>
      <c r="P25" s="4">
        <f>O25/Q25</f>
        <v>14.597961494903737</v>
      </c>
      <c r="Q25" s="2">
        <v>88.3</v>
      </c>
      <c r="R25" s="2" t="s">
        <v>15</v>
      </c>
      <c r="S25" s="2">
        <v>3</v>
      </c>
      <c r="T25" s="2" t="s">
        <v>23</v>
      </c>
      <c r="U25" s="3" t="s">
        <v>2</v>
      </c>
    </row>
    <row r="26" spans="14:21" ht="17.25" x14ac:dyDescent="0.25">
      <c r="N26" s="2">
        <f t="shared" si="6"/>
        <v>230.84</v>
      </c>
      <c r="O26" s="2">
        <v>230.84</v>
      </c>
      <c r="P26" s="4">
        <f>O26/Q26</f>
        <v>9.1277184657967574</v>
      </c>
      <c r="Q26" s="2">
        <v>25.29</v>
      </c>
      <c r="R26" s="2" t="s">
        <v>15</v>
      </c>
      <c r="S26" s="2">
        <v>1</v>
      </c>
      <c r="T26" s="2">
        <v>9</v>
      </c>
      <c r="U26" s="1" t="s">
        <v>14</v>
      </c>
    </row>
    <row r="27" spans="14:21" x14ac:dyDescent="0.25">
      <c r="N27" s="5">
        <f>SUM(N24:N26)</f>
        <v>9977.84</v>
      </c>
      <c r="O27" s="12" t="s">
        <v>30</v>
      </c>
      <c r="P27" s="13"/>
      <c r="Q27" s="13"/>
      <c r="R27" s="14"/>
      <c r="S27" s="2">
        <f>SUM(S24:S26)</f>
        <v>9</v>
      </c>
      <c r="T27" s="12" t="s">
        <v>29</v>
      </c>
      <c r="U27" s="14"/>
    </row>
    <row r="28" spans="14:21" ht="18.75" x14ac:dyDescent="0.3">
      <c r="N28" s="12"/>
      <c r="O28" s="13"/>
      <c r="P28" s="13"/>
      <c r="Q28" s="13"/>
      <c r="R28" s="13"/>
      <c r="S28" s="13"/>
      <c r="T28" s="14"/>
      <c r="U28" s="8" t="s">
        <v>16</v>
      </c>
    </row>
    <row r="29" spans="14:21" ht="17.25" x14ac:dyDescent="0.25">
      <c r="N29" s="2">
        <f>O29*S29</f>
        <v>3942.84</v>
      </c>
      <c r="O29" s="2">
        <v>1314.28</v>
      </c>
      <c r="P29" s="4">
        <f>O29/Q29</f>
        <v>14.223809523809523</v>
      </c>
      <c r="Q29" s="2">
        <v>92.4</v>
      </c>
      <c r="R29" s="2" t="s">
        <v>15</v>
      </c>
      <c r="S29" s="2">
        <v>3</v>
      </c>
      <c r="T29" s="2" t="s">
        <v>31</v>
      </c>
      <c r="U29" s="3" t="s">
        <v>2</v>
      </c>
    </row>
    <row r="30" spans="14:21" ht="17.25" x14ac:dyDescent="0.25">
      <c r="N30" s="2">
        <f t="shared" ref="N30:N32" si="7">O30*S30</f>
        <v>1144.3399999999999</v>
      </c>
      <c r="O30" s="2">
        <v>1144.3399999999999</v>
      </c>
      <c r="P30" s="4">
        <f t="shared" ref="P30:P32" si="8">O30/Q30</f>
        <v>14.331120851596744</v>
      </c>
      <c r="Q30" s="2">
        <v>79.849999999999994</v>
      </c>
      <c r="R30" s="2" t="s">
        <v>15</v>
      </c>
      <c r="S30" s="2">
        <v>1</v>
      </c>
      <c r="T30" s="2">
        <v>4</v>
      </c>
      <c r="U30" s="3" t="s">
        <v>2</v>
      </c>
    </row>
    <row r="31" spans="14:21" ht="17.25" x14ac:dyDescent="0.25">
      <c r="N31" s="2">
        <f t="shared" si="7"/>
        <v>5200</v>
      </c>
      <c r="O31" s="2">
        <v>1300</v>
      </c>
      <c r="P31" s="4">
        <f t="shared" si="8"/>
        <v>14.069264069264069</v>
      </c>
      <c r="Q31" s="2">
        <v>92.4</v>
      </c>
      <c r="R31" s="2" t="s">
        <v>15</v>
      </c>
      <c r="S31" s="2">
        <v>4</v>
      </c>
      <c r="T31" s="2" t="s">
        <v>32</v>
      </c>
      <c r="U31" s="3" t="s">
        <v>2</v>
      </c>
    </row>
    <row r="32" spans="14:21" ht="17.25" x14ac:dyDescent="0.25">
      <c r="N32" s="2">
        <f t="shared" si="7"/>
        <v>230.84</v>
      </c>
      <c r="O32" s="2">
        <v>230.84</v>
      </c>
      <c r="P32" s="4">
        <f t="shared" si="8"/>
        <v>9.120505728960886</v>
      </c>
      <c r="Q32" s="2">
        <v>25.31</v>
      </c>
      <c r="R32" s="2" t="s">
        <v>15</v>
      </c>
      <c r="S32" s="2">
        <v>1</v>
      </c>
      <c r="T32" s="2">
        <v>9</v>
      </c>
      <c r="U32" s="1" t="s">
        <v>14</v>
      </c>
    </row>
    <row r="33" spans="14:21" x14ac:dyDescent="0.25">
      <c r="N33" s="7">
        <f>SUM(N29:N32)</f>
        <v>10518.02</v>
      </c>
      <c r="O33" s="15" t="s">
        <v>34</v>
      </c>
      <c r="P33" s="16"/>
      <c r="Q33" s="16"/>
      <c r="R33" s="17"/>
      <c r="S33" s="6">
        <f>SUM(S29:S32)</f>
        <v>9</v>
      </c>
      <c r="T33" s="15" t="s">
        <v>33</v>
      </c>
      <c r="U33" s="17"/>
    </row>
    <row r="34" spans="14:21" ht="18.75" x14ac:dyDescent="0.3">
      <c r="N34" s="12"/>
      <c r="O34" s="13"/>
      <c r="P34" s="13"/>
      <c r="Q34" s="13"/>
      <c r="R34" s="13"/>
      <c r="S34" s="13"/>
      <c r="T34" s="14"/>
      <c r="U34" s="8" t="s">
        <v>17</v>
      </c>
    </row>
    <row r="35" spans="14:21" ht="17.25" x14ac:dyDescent="0.25">
      <c r="N35" s="2">
        <f>O35*S35</f>
        <v>5260</v>
      </c>
      <c r="O35" s="2">
        <v>1315</v>
      </c>
      <c r="P35" s="4">
        <f>O35/Q35</f>
        <v>14.196264709057541</v>
      </c>
      <c r="Q35" s="2">
        <v>92.63</v>
      </c>
      <c r="R35" s="2" t="s">
        <v>15</v>
      </c>
      <c r="S35" s="2">
        <v>4</v>
      </c>
      <c r="T35" s="2" t="s">
        <v>12</v>
      </c>
      <c r="U35" s="3" t="s">
        <v>2</v>
      </c>
    </row>
    <row r="36" spans="14:21" ht="17.25" x14ac:dyDescent="0.25">
      <c r="N36" s="2">
        <f t="shared" ref="N36:N37" si="9">O36*S36</f>
        <v>5180</v>
      </c>
      <c r="O36" s="2">
        <v>1295</v>
      </c>
      <c r="P36" s="4">
        <f t="shared" ref="P36:P37" si="10">O36/Q36</f>
        <v>13.984881209503241</v>
      </c>
      <c r="Q36" s="2">
        <v>92.6</v>
      </c>
      <c r="R36" s="2" t="s">
        <v>15</v>
      </c>
      <c r="S36" s="2">
        <v>4</v>
      </c>
      <c r="T36" s="2" t="s">
        <v>32</v>
      </c>
      <c r="U36" s="3" t="s">
        <v>2</v>
      </c>
    </row>
    <row r="37" spans="14:21" ht="17.25" x14ac:dyDescent="0.25">
      <c r="N37" s="2">
        <f t="shared" si="9"/>
        <v>230.84</v>
      </c>
      <c r="O37" s="2">
        <v>230.84</v>
      </c>
      <c r="P37" s="4">
        <f t="shared" si="10"/>
        <v>9.1277184657967574</v>
      </c>
      <c r="Q37" s="2">
        <v>25.29</v>
      </c>
      <c r="R37" s="2" t="s">
        <v>15</v>
      </c>
      <c r="S37" s="2">
        <v>1</v>
      </c>
      <c r="T37" s="2">
        <v>9</v>
      </c>
      <c r="U37" s="1" t="s">
        <v>14</v>
      </c>
    </row>
    <row r="38" spans="14:21" x14ac:dyDescent="0.25">
      <c r="N38" s="5">
        <f>SUM(N35:N37)</f>
        <v>10670.84</v>
      </c>
      <c r="O38" s="11" t="s">
        <v>36</v>
      </c>
      <c r="P38" s="11"/>
      <c r="Q38" s="11"/>
      <c r="R38" s="11"/>
      <c r="S38" s="2">
        <f>SUM(S35:S37)</f>
        <v>9</v>
      </c>
      <c r="T38" s="11" t="s">
        <v>35</v>
      </c>
      <c r="U38" s="11"/>
    </row>
    <row r="39" spans="14:21" ht="18.75" x14ac:dyDescent="0.3">
      <c r="N39" s="12"/>
      <c r="O39" s="13"/>
      <c r="P39" s="13"/>
      <c r="Q39" s="13"/>
      <c r="R39" s="13"/>
      <c r="S39" s="13"/>
      <c r="T39" s="14"/>
      <c r="U39" s="8" t="s">
        <v>18</v>
      </c>
    </row>
    <row r="40" spans="14:21" ht="17.25" x14ac:dyDescent="0.25">
      <c r="N40" s="2">
        <f>O40*S40</f>
        <v>1327.15</v>
      </c>
      <c r="O40" s="2">
        <v>1327.15</v>
      </c>
      <c r="P40" s="4">
        <f>O40/Q40</f>
        <v>14.349118823656614</v>
      </c>
      <c r="Q40" s="2">
        <v>92.49</v>
      </c>
      <c r="R40" s="2" t="s">
        <v>15</v>
      </c>
      <c r="S40" s="2">
        <v>1</v>
      </c>
      <c r="T40" s="2">
        <v>1</v>
      </c>
      <c r="U40" s="3" t="s">
        <v>2</v>
      </c>
    </row>
    <row r="41" spans="14:21" ht="17.25" x14ac:dyDescent="0.25">
      <c r="N41" s="2">
        <f t="shared" ref="N41:N46" si="11">O41*S41</f>
        <v>1321.28</v>
      </c>
      <c r="O41" s="2">
        <v>1321.28</v>
      </c>
      <c r="P41" s="4">
        <f t="shared" ref="P41:P46" si="12">O41/Q41</f>
        <v>14.30730914997293</v>
      </c>
      <c r="Q41" s="2">
        <v>92.35</v>
      </c>
      <c r="R41" s="2" t="s">
        <v>15</v>
      </c>
      <c r="S41" s="2">
        <v>1</v>
      </c>
      <c r="T41" s="2">
        <v>2</v>
      </c>
      <c r="U41" s="3" t="s">
        <v>2</v>
      </c>
    </row>
    <row r="42" spans="14:21" ht="17.25" x14ac:dyDescent="0.25">
      <c r="N42" s="2">
        <f t="shared" si="11"/>
        <v>1315.27</v>
      </c>
      <c r="O42" s="2">
        <v>1315.27</v>
      </c>
      <c r="P42" s="4">
        <f t="shared" si="12"/>
        <v>14.22067250513569</v>
      </c>
      <c r="Q42" s="2">
        <v>92.49</v>
      </c>
      <c r="R42" s="2" t="s">
        <v>15</v>
      </c>
      <c r="S42" s="2">
        <v>1</v>
      </c>
      <c r="T42" s="2">
        <v>3</v>
      </c>
      <c r="U42" s="3" t="s">
        <v>2</v>
      </c>
    </row>
    <row r="43" spans="14:21" ht="17.25" x14ac:dyDescent="0.25">
      <c r="N43" s="2">
        <f t="shared" si="11"/>
        <v>1308.24</v>
      </c>
      <c r="O43" s="2">
        <v>1308.24</v>
      </c>
      <c r="P43" s="4">
        <f t="shared" si="12"/>
        <v>14.144664288031139</v>
      </c>
      <c r="Q43" s="2">
        <v>92.49</v>
      </c>
      <c r="R43" s="2" t="s">
        <v>15</v>
      </c>
      <c r="S43" s="2">
        <v>1</v>
      </c>
      <c r="T43" s="2">
        <v>4</v>
      </c>
      <c r="U43" s="3" t="s">
        <v>2</v>
      </c>
    </row>
    <row r="44" spans="14:21" ht="17.25" x14ac:dyDescent="0.25">
      <c r="N44" s="2">
        <f t="shared" si="11"/>
        <v>2590</v>
      </c>
      <c r="O44" s="2">
        <v>1295</v>
      </c>
      <c r="P44" s="4">
        <f t="shared" si="12"/>
        <v>14.019703366894012</v>
      </c>
      <c r="Q44" s="2">
        <v>92.37</v>
      </c>
      <c r="R44" s="2" t="s">
        <v>15</v>
      </c>
      <c r="S44" s="2">
        <v>2</v>
      </c>
      <c r="T44" s="2" t="s">
        <v>39</v>
      </c>
      <c r="U44" s="3" t="s">
        <v>2</v>
      </c>
    </row>
    <row r="45" spans="14:21" ht="17.25" x14ac:dyDescent="0.25">
      <c r="N45" s="2">
        <f t="shared" si="11"/>
        <v>2598.6</v>
      </c>
      <c r="O45" s="2">
        <v>1299.3</v>
      </c>
      <c r="P45" s="4">
        <f t="shared" si="12"/>
        <v>14.058645314866911</v>
      </c>
      <c r="Q45" s="2">
        <v>92.42</v>
      </c>
      <c r="R45" s="2" t="s">
        <v>15</v>
      </c>
      <c r="S45" s="2">
        <v>2</v>
      </c>
      <c r="T45" s="2" t="s">
        <v>26</v>
      </c>
      <c r="U45" s="3" t="s">
        <v>2</v>
      </c>
    </row>
    <row r="46" spans="14:21" ht="17.25" x14ac:dyDescent="0.25">
      <c r="N46" s="2">
        <f t="shared" si="11"/>
        <v>231.5</v>
      </c>
      <c r="O46" s="2">
        <v>231.5</v>
      </c>
      <c r="P46" s="4">
        <f t="shared" si="12"/>
        <v>9.1538157374456315</v>
      </c>
      <c r="Q46" s="2">
        <v>25.29</v>
      </c>
      <c r="R46" s="2" t="s">
        <v>15</v>
      </c>
      <c r="S46" s="2">
        <v>1</v>
      </c>
      <c r="T46" s="2">
        <v>9</v>
      </c>
      <c r="U46" s="1" t="s">
        <v>14</v>
      </c>
    </row>
    <row r="47" spans="14:21" x14ac:dyDescent="0.25">
      <c r="N47" s="5">
        <f>SUM(N40:N46)</f>
        <v>10692.04</v>
      </c>
      <c r="O47" s="11" t="s">
        <v>38</v>
      </c>
      <c r="P47" s="11"/>
      <c r="Q47" s="11"/>
      <c r="R47" s="11"/>
      <c r="S47" s="2">
        <f>SUM(S40:S46)</f>
        <v>9</v>
      </c>
      <c r="T47" s="11" t="s">
        <v>37</v>
      </c>
      <c r="U47" s="11"/>
    </row>
    <row r="48" spans="14:21" ht="18.75" x14ac:dyDescent="0.3">
      <c r="N48" s="12"/>
      <c r="O48" s="13"/>
      <c r="P48" s="13"/>
      <c r="Q48" s="13"/>
      <c r="R48" s="13"/>
      <c r="S48" s="13"/>
      <c r="T48" s="14"/>
      <c r="U48" s="8" t="s">
        <v>19</v>
      </c>
    </row>
    <row r="49" spans="14:21" ht="17.25" x14ac:dyDescent="0.25">
      <c r="N49" s="2">
        <f>O49*S49</f>
        <v>5260</v>
      </c>
      <c r="O49" s="2">
        <v>1315</v>
      </c>
      <c r="P49" s="4">
        <f>O49/Q49</f>
        <v>14.231601731601732</v>
      </c>
      <c r="Q49" s="2">
        <v>92.4</v>
      </c>
      <c r="R49" s="2" t="s">
        <v>15</v>
      </c>
      <c r="S49" s="2">
        <v>4</v>
      </c>
      <c r="T49" s="2" t="s">
        <v>12</v>
      </c>
      <c r="U49" s="3" t="s">
        <v>2</v>
      </c>
    </row>
    <row r="50" spans="14:21" ht="17.25" x14ac:dyDescent="0.25">
      <c r="N50" s="2">
        <f t="shared" ref="N50:N51" si="13">O50*S50</f>
        <v>5180</v>
      </c>
      <c r="O50" s="2">
        <v>1295</v>
      </c>
      <c r="P50" s="4">
        <f t="shared" ref="P50:P51" si="14">O50/Q50</f>
        <v>14.00605667315596</v>
      </c>
      <c r="Q50" s="2">
        <v>92.46</v>
      </c>
      <c r="R50" s="2" t="s">
        <v>15</v>
      </c>
      <c r="S50" s="2">
        <v>4</v>
      </c>
      <c r="T50" s="2" t="s">
        <v>32</v>
      </c>
      <c r="U50" s="3" t="s">
        <v>2</v>
      </c>
    </row>
    <row r="51" spans="14:21" ht="17.25" x14ac:dyDescent="0.25">
      <c r="N51" s="2">
        <f t="shared" si="13"/>
        <v>230.8</v>
      </c>
      <c r="O51" s="2">
        <v>230.8</v>
      </c>
      <c r="P51" s="4">
        <f t="shared" si="14"/>
        <v>9.1225296442687753</v>
      </c>
      <c r="Q51" s="2">
        <v>25.3</v>
      </c>
      <c r="R51" s="2" t="s">
        <v>15</v>
      </c>
      <c r="S51" s="2">
        <v>1</v>
      </c>
      <c r="T51" s="2">
        <v>9</v>
      </c>
      <c r="U51" s="1" t="s">
        <v>14</v>
      </c>
    </row>
    <row r="52" spans="14:21" x14ac:dyDescent="0.25">
      <c r="N52" s="5">
        <f>SUM(N49:N51)</f>
        <v>10670.8</v>
      </c>
      <c r="O52" s="11" t="s">
        <v>41</v>
      </c>
      <c r="P52" s="11"/>
      <c r="Q52" s="11"/>
      <c r="R52" s="11"/>
      <c r="S52" s="2">
        <f>SUM(S49:S51)</f>
        <v>9</v>
      </c>
      <c r="T52" s="11" t="s">
        <v>40</v>
      </c>
      <c r="U52" s="11"/>
    </row>
    <row r="53" spans="14:21" x14ac:dyDescent="0.25">
      <c r="N53" s="2">
        <f>S10+S15+S22+S27+S33+S38+S47+S52</f>
        <v>73</v>
      </c>
      <c r="O53" s="11" t="s">
        <v>42</v>
      </c>
      <c r="P53" s="11"/>
      <c r="Q53" s="11"/>
      <c r="R53" s="11"/>
      <c r="S53" s="11"/>
      <c r="T53" s="11"/>
      <c r="U53" s="11"/>
    </row>
    <row r="54" spans="14:21" ht="17.25" x14ac:dyDescent="0.25">
      <c r="N54" s="2">
        <f>N10+N15+N22+N27+N33+N38+N47+N52</f>
        <v>82430.710000000006</v>
      </c>
      <c r="O54" s="11" t="s">
        <v>43</v>
      </c>
      <c r="P54" s="11"/>
      <c r="Q54" s="11"/>
      <c r="R54" s="11"/>
      <c r="S54" s="11"/>
      <c r="T54" s="11"/>
      <c r="U54" s="11"/>
    </row>
  </sheetData>
  <mergeCells count="26">
    <mergeCell ref="T22:U22"/>
    <mergeCell ref="N23:T23"/>
    <mergeCell ref="O27:R27"/>
    <mergeCell ref="T27:U27"/>
    <mergeCell ref="T10:U10"/>
    <mergeCell ref="O10:R10"/>
    <mergeCell ref="N11:T11"/>
    <mergeCell ref="N16:T16"/>
    <mergeCell ref="T15:U15"/>
    <mergeCell ref="O15:R15"/>
    <mergeCell ref="O53:U53"/>
    <mergeCell ref="O54:U54"/>
    <mergeCell ref="N3:T3"/>
    <mergeCell ref="N39:T39"/>
    <mergeCell ref="T47:U47"/>
    <mergeCell ref="O47:R47"/>
    <mergeCell ref="N48:T48"/>
    <mergeCell ref="T52:U52"/>
    <mergeCell ref="O52:R52"/>
    <mergeCell ref="N28:T28"/>
    <mergeCell ref="O33:R33"/>
    <mergeCell ref="T33:U33"/>
    <mergeCell ref="N34:T34"/>
    <mergeCell ref="T38:U38"/>
    <mergeCell ref="O38:R38"/>
    <mergeCell ref="O22:R2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Wadigroup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Allaa Hossam</dc:creator>
  <cp:lastModifiedBy>Ashraf Othman</cp:lastModifiedBy>
  <cp:lastPrinted>2024-05-09T12:35:00Z</cp:lastPrinted>
  <dcterms:created xsi:type="dcterms:W3CDTF">2024-05-09T10:43:05Z</dcterms:created>
  <dcterms:modified xsi:type="dcterms:W3CDTF">2024-05-09T13:40:56Z</dcterms:modified>
</cp:coreProperties>
</file>